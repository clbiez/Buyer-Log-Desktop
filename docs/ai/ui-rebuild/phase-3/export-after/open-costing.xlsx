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Ön Maliyet" sheetId="1" r:id="rId1"/>
    <sheet name="Kurl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3" x14ac:knownFonts="1">
    <font>
      <sz val="11"/>
      <name val="Calibri"/>
    </font>
    <font>
      <sz val="11"/>
      <name val="Calibri"/>
    </font>
    <font>
      <sz val="16"/>
      <name val="Aptos Display"/>
      <b/>
      <color rgb="FFFFFFFF"/>
    </font>
    <font>
      <sz val="10"/>
      <name val="Aptos"/>
      <color rgb="FF101828"/>
    </font>
    <font>
      <sz val="10"/>
      <name val="Aptos"/>
      <color rgb="FF101828"/>
    </font>
    <font>
      <sz val="10"/>
      <name val="Aptos"/>
      <b/>
      <color rgb="FF475467"/>
    </font>
    <font>
      <sz val="10"/>
      <name val="Aptos"/>
      <b/>
      <color rgb="FF1B5FA8"/>
    </font>
    <font>
      <sz val="10"/>
      <name val="Aptos"/>
      <color rgb="FF101828"/>
    </font>
    <font>
      <sz val="10"/>
      <name val="Aptos"/>
      <color rgb="FF101828"/>
    </font>
    <font>
      <sz val="10"/>
      <name val="Aptos"/>
      <b/>
      <color rgb="FF344054"/>
    </font>
    <font>
      <sz val="10"/>
      <name val="Aptos"/>
      <b/>
      <color rgb="FF344054"/>
    </font>
    <font>
      <sz val="11"/>
      <name val="Aptos"/>
      <b/>
      <color rgb="FF101828"/>
    </font>
    <font>
      <sz val="11"/>
      <name val="Aptos"/>
      <b/>
      <color rgb="FF101828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B5FA8"/>
        <bgColor/>
      </patternFill>
    </fill>
    <fill>
      <patternFill patternType="solid">
        <fgColor rgb="FFF2F4F7"/>
        <bgColor/>
      </patternFill>
    </fill>
    <fill>
      <patternFill patternType="solid">
        <fgColor rgb="FFEFF4FB"/>
        <bgColor/>
      </patternFill>
    </fill>
    <fill>
      <patternFill patternType="solid">
        <fgColor rgb="FFF7F9FC"/>
        <bgColor/>
      </patternFill>
    </fill>
    <fill>
      <patternFill patternType="solid">
        <fgColor rgb="FFF7F9FC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4E7EC"/>
      </bottom>
      <diagonal/>
    </border>
    <border>
      <left/>
      <right/>
      <top/>
      <bottom style="thin">
        <color rgb="FFE4E7EC"/>
      </bottom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/>
      <right/>
      <top/>
      <bottom style="thin">
        <color rgb="FFE4E7EC"/>
      </bottom>
      <diagonal/>
    </border>
    <border>
      <left/>
      <right/>
      <top/>
      <bottom style="thin">
        <color rgb="FFE4E7EC"/>
      </bottom>
      <diagonal/>
    </border>
    <border>
      <left/>
      <right/>
      <top/>
      <bottom style="thin">
        <color rgb="FFE4E7EC"/>
      </bottom>
      <diagonal/>
    </border>
    <border>
      <left/>
      <right/>
      <top style="thin">
        <color rgb="FFE4E7EC"/>
      </top>
      <bottom style="thin">
        <color rgb="FFE4E7EC"/>
      </bottom>
      <diagonal/>
    </border>
    <border>
      <left/>
      <right/>
      <top style="thin">
        <color rgb="FFE4E7EC"/>
      </top>
      <bottom style="thin">
        <color rgb="FFE4E7EC"/>
      </bottom>
      <diagonal/>
    </border>
    <border>
      <left/>
      <right/>
      <top style="thin">
        <color rgb="FFE4E7EC"/>
      </top>
      <bottom style="thin">
        <color rgb="FFE4E7EC"/>
      </bottom>
      <diagonal/>
    </border>
    <border>
      <left/>
      <right/>
      <top style="thin">
        <color rgb="FFE4E7EC"/>
      </top>
      <bottom style="thin">
        <color rgb="FFE4E7EC"/>
      </bottom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vertical="center" wrapText="true"/>
    </xf>
    <xf numFmtId="49" fontId="4" fillId="0" borderId="3" xfId="0" applyFont="1" applyBorder="1" applyNumberFormat="1" applyAlignment="1">
      <alignment vertical="center" wrapText="true"/>
    </xf>
    <xf numFmtId="0" fontId="5" fillId="3" borderId="4" xfId="0" applyFont="1" applyFill="1" applyBorder="1" applyAlignment="1">
      <alignment horizontal="center" vertical="center" wrapText="true"/>
    </xf>
    <xf numFmtId="0" fontId="6" fillId="4" borderId="5" xfId="0" applyFont="1" applyFill="1" applyBorder="1" applyAlignment="1">
      <alignment vertical="center"/>
    </xf>
    <xf numFmtId="4" fontId="7" fillId="0" borderId="6" xfId="0" applyFont="1" applyBorder="1" applyNumberFormat="1" applyAlignment="1">
      <alignment vertical="center" wrapText="true"/>
    </xf>
    <xf numFmtId="10" fontId="8" fillId="0" borderId="7" xfId="0" applyFont="1" applyBorder="1" applyNumberFormat="1" applyAlignment="1">
      <alignment vertical="center" wrapText="true"/>
    </xf>
    <xf numFmtId="0" fontId="9" fillId="0" borderId="8" xfId="0" applyFont="1" applyBorder="1" applyAlignment="1">
      <alignment vertical="center"/>
    </xf>
    <xf numFmtId="4" fontId="10" fillId="0" borderId="9" xfId="0" applyFont="1" applyBorder="1" applyNumberFormat="1" applyAlignment="1">
      <alignment vertical="center"/>
    </xf>
    <xf numFmtId="0" fontId="11" fillId="5" borderId="10" xfId="0" applyFont="1" applyFill="1" applyBorder="1" applyAlignment="1">
      <alignment vertical="center"/>
    </xf>
    <xf numFmtId="4" fontId="12" fillId="6" borderId="11" xfId="0" applyFont="1" applyFill="1" applyBorder="1" applyNumberFormat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cols>
    <col min="1" max="1" width="20.83203125" customWidth="1"/>
    <col min="2" max="2" width="26.83203125" customWidth="1"/>
    <col min="3" max="3" width="36.83203125" customWidth="1"/>
    <col min="4" max="4" width="11.83203125" customWidth="1"/>
    <col min="5" max="5" width="13.83203125" customWidth="1"/>
    <col min="6" max="6" width="13.83203125" customWidth="1"/>
    <col min="7" max="7" width="9.83203125" customWidth="1"/>
    <col min="8" max="8" width="10.83203125" customWidth="1"/>
    <col min="9" max="9" width="16.83203125" customWidth="1"/>
    <col min="10" max="10" width="16.83203125" customWidth="1" hidden="true"/>
  </cols>
  <sheetData>
    <row r="1">
      <c r="A1" s="3" t="str">
        <v>ÖN MALİYET</v>
      </c>
    </row>
    <row r="3">
      <c r="A3" s="4" t="str">
        <v>Model ve Teklif Bilgileri</v>
      </c>
    </row>
    <row r="4">
      <c r="A4" s="4" t="str">
        <v>Maliyet Adı</v>
      </c>
      <c r="B4" s="4" t="str">
        <v>DEMO-TRIKO-001</v>
      </c>
      <c r="J4" s="4" t="str">
        <v>META:title</v>
      </c>
    </row>
    <row r="5">
      <c r="A5" s="4" t="str">
        <v>Model / Style</v>
      </c>
      <c r="B5" s="4" t="str">
        <v/>
      </c>
      <c r="J5" s="4" t="str">
        <v>META:modelCode</v>
      </c>
    </row>
    <row r="6">
      <c r="A6" s="4" t="str">
        <v>PLM ID</v>
      </c>
      <c r="B6" s="5" t="str">
        <v/>
      </c>
      <c r="J6" s="4" t="str">
        <v>META:plmId</v>
      </c>
    </row>
    <row r="7">
      <c r="A7" s="4" t="str">
        <v>Üretici</v>
      </c>
      <c r="B7" s="4" t="str">
        <v/>
      </c>
      <c r="J7" s="4" t="str">
        <v>META:manufacturer</v>
      </c>
    </row>
    <row r="8">
      <c r="A8" s="4" t="str">
        <v>Ülke</v>
      </c>
      <c r="B8" s="4" t="str">
        <v/>
      </c>
      <c r="J8" s="4" t="str">
        <v>META:country</v>
      </c>
    </row>
    <row r="9">
      <c r="A9" s="4" t="str">
        <v>Sezon</v>
      </c>
      <c r="B9" s="4" t="str">
        <v/>
      </c>
      <c r="J9" s="4" t="str">
        <v>META:season</v>
      </c>
    </row>
    <row r="10">
      <c r="A10" s="4" t="str">
        <v>Lisans</v>
      </c>
      <c r="B10" s="4" t="str">
        <v/>
      </c>
      <c r="J10" s="4" t="str">
        <v>META:license</v>
      </c>
    </row>
    <row r="11">
      <c r="A11" s="4" t="str">
        <v>Kategori</v>
      </c>
      <c r="B11" s="4" t="str">
        <v/>
      </c>
      <c r="J11" s="4" t="str">
        <v>META:category</v>
      </c>
    </row>
    <row r="12">
      <c r="A12" s="4" t="str">
        <v>Sipariş Adedi</v>
      </c>
      <c r="B12" s="4">
        <v>0</v>
      </c>
      <c r="J12" s="4" t="str">
        <v>META:quantity</v>
      </c>
    </row>
    <row r="13">
      <c r="A13" s="4" t="str">
        <v>Para Birimi</v>
      </c>
      <c r="B13" s="4" t="str">
        <v>USD</v>
      </c>
      <c r="J13" s="4" t="str">
        <v>META:currency</v>
      </c>
    </row>
    <row r="14">
      <c r="A14" s="4" t="str">
        <v>Kur Ayı</v>
      </c>
      <c r="B14" s="4" t="str">
        <v>2026-10</v>
      </c>
      <c r="J14" s="4" t="str">
        <v>META:fxMonth</v>
      </c>
    </row>
    <row r="15">
      <c r="A15" s="4" t="str">
        <v>Hedef FOB</v>
      </c>
      <c r="B15" s="4">
        <v>0</v>
      </c>
      <c r="J15" s="4" t="str">
        <v>META:targetFob</v>
      </c>
    </row>
    <row r="16">
      <c r="A16" s="4" t="str">
        <v>Notlar</v>
      </c>
      <c r="B16" s="4" t="str">
        <v/>
      </c>
      <c r="J16" s="4" t="str">
        <v>META:notes</v>
      </c>
    </row>
    <row r="18">
      <c r="A18" s="4" t="str">
        <v>Maliyet Kalemleri</v>
      </c>
    </row>
    <row r="19">
      <c r="A19" s="6" t="str">
        <v>Maliyet Grubu</v>
      </c>
      <c r="B19" s="6" t="str">
        <v>Maliyet Kalemi</v>
      </c>
      <c r="C19" s="6" t="str">
        <v>Açıklama</v>
      </c>
      <c r="D19" s="6" t="str">
        <v>Birim</v>
      </c>
      <c r="E19" s="6" t="str">
        <v>Tüketim / Adet</v>
      </c>
      <c r="F19" s="6" t="str">
        <v>Birim Fiyat</v>
      </c>
      <c r="G19" s="6" t="str">
        <v>Döviz</v>
      </c>
      <c r="H19" s="6" t="str">
        <v>Fire %</v>
      </c>
      <c r="I19" s="6" t="str">
        <v>Satır Toplamı</v>
      </c>
    </row>
    <row r="20">
      <c r="A20" s="7" t="str">
        <v>Kumaş</v>
      </c>
      <c r="J20" s="7" t="str">
        <v>SEC:fabric</v>
      </c>
    </row>
    <row r="21">
      <c r="A21" s="4" t="str">
        <v>Kumaş</v>
      </c>
      <c r="B21" s="4" t="str">
        <v/>
      </c>
      <c r="C21" s="4" t="str">
        <v/>
      </c>
      <c r="D21" s="4" t="str">
        <v>adet</v>
      </c>
      <c r="E21" s="8">
        <v>0</v>
      </c>
      <c r="F21" s="8">
        <v>0</v>
      </c>
      <c r="G21" s="4" t="str">
        <v>USD</v>
      </c>
      <c r="H21" s="9">
        <v>0</v>
      </c>
      <c r="I21" s="8">
        <f>E21*F21*(1+H21)*IFERROR(VLOOKUP(G21,Kurlar!$A:$B,2,FALSE),1)</f>
        <v>0</v>
      </c>
      <c r="J21" s="4" t="str">
        <v>LINE:fabric</v>
      </c>
    </row>
    <row r="22">
      <c r="A22" s="10" t="str">
        <v>Ara Toplam</v>
      </c>
      <c r="B22" s="11" t="str">
        <v/>
      </c>
      <c r="C22" s="10" t="str">
        <v/>
      </c>
      <c r="D22" s="10" t="str">
        <v/>
      </c>
      <c r="E22" s="10" t="str">
        <v/>
      </c>
      <c r="F22" s="10" t="str">
        <v/>
      </c>
      <c r="G22" s="10" t="str">
        <v/>
      </c>
      <c r="H22" s="10" t="str">
        <v/>
      </c>
      <c r="I22" s="11">
        <f>SUM(I21:I21)</f>
        <v>0</v>
      </c>
      <c r="J22" s="10" t="str">
        <v>SUBTOTAL:fabric</v>
      </c>
    </row>
    <row r="23">
      <c r="A23" s="7" t="str">
        <v>İşçilik / CMT</v>
      </c>
      <c r="J23" s="7" t="str">
        <v>SEC:labor</v>
      </c>
    </row>
    <row r="24">
      <c r="A24" s="4" t="str">
        <v>İşçilik / CMT</v>
      </c>
      <c r="B24" s="4" t="str">
        <v/>
      </c>
      <c r="C24" s="4" t="str">
        <v/>
      </c>
      <c r="D24" s="4" t="str">
        <v>adet</v>
      </c>
      <c r="E24" s="8">
        <v>0</v>
      </c>
      <c r="F24" s="8">
        <v>0</v>
      </c>
      <c r="G24" s="4" t="str">
        <v>USD</v>
      </c>
      <c r="H24" s="9">
        <v>0</v>
      </c>
      <c r="I24" s="8">
        <f>E24*F24*(1+H24)*IFERROR(VLOOKUP(G24,Kurlar!$A:$B,2,FALSE),1)</f>
        <v>0</v>
      </c>
      <c r="J24" s="4" t="str">
        <v>LINE:labor</v>
      </c>
    </row>
    <row r="25">
      <c r="A25" s="10" t="str">
        <v>Ara Toplam</v>
      </c>
      <c r="B25" s="11" t="str">
        <v/>
      </c>
      <c r="C25" s="10" t="str">
        <v/>
      </c>
      <c r="D25" s="10" t="str">
        <v/>
      </c>
      <c r="E25" s="10" t="str">
        <v/>
      </c>
      <c r="F25" s="10" t="str">
        <v/>
      </c>
      <c r="G25" s="10" t="str">
        <v/>
      </c>
      <c r="H25" s="10" t="str">
        <v/>
      </c>
      <c r="I25" s="11">
        <f>SUM(I24:I24)</f>
        <v>0</v>
      </c>
      <c r="J25" s="10" t="str">
        <v>SUBTOTAL:labor</v>
      </c>
    </row>
    <row r="26">
      <c r="A26" s="7" t="str">
        <v>Aksesuar</v>
      </c>
      <c r="J26" s="7" t="str">
        <v>SEC:accessories</v>
      </c>
    </row>
    <row r="27">
      <c r="A27" s="4" t="str">
        <v>Aksesuar</v>
      </c>
      <c r="B27" s="4" t="str">
        <v/>
      </c>
      <c r="C27" s="4" t="str">
        <v/>
      </c>
      <c r="D27" s="4" t="str">
        <v>adet</v>
      </c>
      <c r="E27" s="8">
        <v>0</v>
      </c>
      <c r="F27" s="8">
        <v>0</v>
      </c>
      <c r="G27" s="4" t="str">
        <v>USD</v>
      </c>
      <c r="H27" s="9">
        <v>0</v>
      </c>
      <c r="I27" s="8">
        <f>E27*F27*(1+H27)*IFERROR(VLOOKUP(G27,Kurlar!$A:$B,2,FALSE),1)</f>
        <v>0</v>
      </c>
      <c r="J27" s="4" t="str">
        <v>LINE:accessories</v>
      </c>
    </row>
    <row r="28">
      <c r="A28" s="10" t="str">
        <v>Ara Toplam</v>
      </c>
      <c r="B28" s="11" t="str">
        <v/>
      </c>
      <c r="C28" s="10" t="str">
        <v/>
      </c>
      <c r="D28" s="10" t="str">
        <v/>
      </c>
      <c r="E28" s="10" t="str">
        <v/>
      </c>
      <c r="F28" s="10" t="str">
        <v/>
      </c>
      <c r="G28" s="10" t="str">
        <v/>
      </c>
      <c r="H28" s="10" t="str">
        <v/>
      </c>
      <c r="I28" s="11">
        <f>SUM(I27:I27)</f>
        <v>0</v>
      </c>
      <c r="J28" s="10" t="str">
        <v>SUBTOTAL:accessories</v>
      </c>
    </row>
    <row r="30">
      <c r="A30" s="4" t="str">
        <v>Özet</v>
      </c>
    </row>
    <row r="31">
      <c r="A31" s="12" t="str">
        <v>Doğrudan Maliyet</v>
      </c>
      <c r="B31" s="13">
        <f>I22+I25+I28</f>
        <v>0</v>
      </c>
      <c r="J31" s="12" t="str">
        <v>CALC:direct</v>
      </c>
    </row>
    <row r="32">
      <c r="A32" s="4" t="str">
        <v>Genel Üretim Firesi</v>
      </c>
      <c r="B32" s="9">
        <v>0</v>
      </c>
      <c r="C32" s="8">
        <f>B31*B32</f>
        <v>0</v>
      </c>
      <c r="J32" s="4" t="str">
        <v>RATE:productionWastePct</v>
      </c>
    </row>
    <row r="33">
      <c r="A33" s="4" t="str">
        <v>Fire Sonrası</v>
      </c>
      <c r="B33" s="8">
        <f>B31+C32</f>
        <v>0</v>
      </c>
      <c r="J33" s="4" t="str">
        <v>CALC:afterWaste</v>
      </c>
    </row>
    <row r="34">
      <c r="A34" s="4" t="str">
        <v>Genel Gider</v>
      </c>
      <c r="B34" s="9">
        <v>0</v>
      </c>
      <c r="C34" s="8">
        <f>B33*B34</f>
        <v>0</v>
      </c>
      <c r="J34" s="4" t="str">
        <v>RATE:overheadPct</v>
      </c>
    </row>
    <row r="35">
      <c r="A35" s="4" t="str">
        <v>Genel Gider Sonrası</v>
      </c>
      <c r="B35" s="8">
        <f>B33+C34</f>
        <v>0</v>
      </c>
      <c r="J35" s="4" t="str">
        <v>CALC:afterOverhead</v>
      </c>
    </row>
    <row r="36">
      <c r="A36" s="4" t="str">
        <v>Finansman</v>
      </c>
      <c r="B36" s="9">
        <v>0</v>
      </c>
      <c r="C36" s="8">
        <f>B35*B36</f>
        <v>0</v>
      </c>
      <c r="J36" s="4" t="str">
        <v>RATE:financePct</v>
      </c>
    </row>
    <row r="37">
      <c r="A37" s="4" t="str">
        <v>Finansman Sonrası</v>
      </c>
      <c r="B37" s="8">
        <f>B35+C36</f>
        <v>0</v>
      </c>
      <c r="J37" s="4" t="str">
        <v>CALC:afterFinance</v>
      </c>
    </row>
    <row r="38">
      <c r="A38" s="4" t="str">
        <v>Kâr</v>
      </c>
      <c r="B38" s="9">
        <v>0</v>
      </c>
      <c r="C38" s="8">
        <f>B37*B38</f>
        <v>0</v>
      </c>
      <c r="J38" s="4" t="str">
        <v>RATE:profitPct</v>
      </c>
    </row>
    <row r="39">
      <c r="B39" s="8">
        <f>B37+C38</f>
        <v>0</v>
      </c>
      <c r="J39" s="4" t="str">
        <v>CALC:null</v>
      </c>
    </row>
    <row r="40">
      <c r="A40" s="12" t="str">
        <v>Hesaplanan Birim FOB</v>
      </c>
      <c r="B40" s="13">
        <f>ROUND(B39,2)</f>
        <v>0</v>
      </c>
      <c r="J40" s="12" t="str">
        <v>CALC:finalFob</v>
      </c>
    </row>
    <row r="41">
      <c r="A41" s="4" t="str">
        <v>Hedef FOB</v>
      </c>
      <c r="B41" s="8">
        <v>0</v>
      </c>
      <c r="J41" s="4" t="str">
        <v>CALC:target</v>
      </c>
    </row>
    <row r="42">
      <c r="A42" s="4" t="str">
        <v>Hedef Sapması</v>
      </c>
      <c r="B42" s="8">
        <f>IF(B41=0,0,ROUND(B40-B41,2))</f>
        <v>0</v>
      </c>
      <c r="J42" s="4" t="str">
        <v>CALC:gap</v>
      </c>
    </row>
    <row r="43">
      <c r="A43" s="4" t="str">
        <v>Sipariş Adedi</v>
      </c>
      <c r="B43" s="8">
        <v>0</v>
      </c>
      <c r="J43" s="4" t="str">
        <v>CALC:quantity</v>
      </c>
    </row>
    <row r="44">
      <c r="A44" s="12" t="str">
        <v>Toplam Sipariş Maliyeti</v>
      </c>
      <c r="B44" s="13">
        <f>ROUND(B40*B43,2)</f>
        <v>0</v>
      </c>
      <c r="J44" s="12" t="str">
        <v>CALC:orderTotal</v>
      </c>
    </row>
    <row r="46">
      <c r="A46" s="4" t="str">
        <v>Kimlik (silmeyin)</v>
      </c>
      <c r="B46" s="4" t="str">
        <v/>
      </c>
      <c r="J46" s="4" t="str">
        <v>ID:record</v>
      </c>
    </row>
  </sheetData>
  <mergeCells count="1">
    <mergeCell ref="A1:I1"/>
  </mergeCells>
  <ignoredErrors>
    <ignoredError numberStoredAsText="1" sqref="A1:J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4.83203125" customWidth="1"/>
    <col min="2" max="2" width="18.83203125" customWidth="1"/>
  </cols>
  <sheetData>
    <row r="1">
      <c r="A1" s="2" t="str">
        <v>Para Birimi</v>
      </c>
      <c r="B1" s="2" t="str">
        <v>Kur → USD</v>
      </c>
    </row>
    <row r="2">
      <c r="A2" s="2" t="str">
        <v>USD</v>
      </c>
      <c r="B2" s="2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Ön Maliyet</vt:lpstr>
      <vt:lpstr>Kurlar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